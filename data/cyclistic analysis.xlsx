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hi\Downloads\a\"/>
    </mc:Choice>
  </mc:AlternateContent>
  <xr:revisionPtr revIDLastSave="0" documentId="13_ncr:1_{3B143F89-6069-4B27-8F3A-0EB9B21EB048}" xr6:coauthVersionLast="47" xr6:coauthVersionMax="47" xr10:uidLastSave="{00000000-0000-0000-0000-000000000000}"/>
  <bookViews>
    <workbookView xWindow="-120" yWindow="-120" windowWidth="20730" windowHeight="11040" activeTab="1" xr2:uid="{F9D9333D-1F86-4726-8394-DD5333A27F31}"/>
  </bookViews>
  <sheets>
    <sheet name="cyclistic analysis" sheetId="2" r:id="rId1"/>
    <sheet name="avg_ride_length" sheetId="1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240483-E78F-4CBE-8DEB-0C0278E45A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<sst xmlns="http://schemas.openxmlformats.org/spreadsheetml/2006/main" count="87" uniqueCount="24">
  <si>
    <t>member_casual</t>
  </si>
  <si>
    <t>day_of_week</t>
  </si>
  <si>
    <t>number_of_rides</t>
  </si>
  <si>
    <t>average_duration</t>
  </si>
  <si>
    <t>classic_bike</t>
  </si>
  <si>
    <t>electric_bike</t>
  </si>
  <si>
    <t>casual</t>
  </si>
  <si>
    <t>Sunday</t>
  </si>
  <si>
    <t>Monday</t>
  </si>
  <si>
    <t>Tuesday</t>
  </si>
  <si>
    <t>Wednesday</t>
  </si>
  <si>
    <t>Thursday</t>
  </si>
  <si>
    <t>Friday</t>
  </si>
  <si>
    <t>Saturday</t>
  </si>
  <si>
    <t>member</t>
  </si>
  <si>
    <t>Row Labels</t>
  </si>
  <si>
    <t>Grand Total</t>
  </si>
  <si>
    <t>Sum of average_duration</t>
  </si>
  <si>
    <t>Sum of number_of_rides</t>
  </si>
  <si>
    <t>Column Labels</t>
  </si>
  <si>
    <t>Average of average_duration</t>
  </si>
  <si>
    <t/>
  </si>
  <si>
    <t>total_time_seconds</t>
  </si>
  <si>
    <t>Average of Average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</si>
</sst>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 analysis.csv.xlsx]cyclistic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K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Bike Type Usage by Rider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'cyclistic analysis'!$M$20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analysis'!$L$21:$L$23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analysis'!$M$21:$M$23</c:f>
              <c:numCache>
                <c:formatCode>General</c:formatCode>
                <c:ptCount val="2"/>
                <c:pt idx="0">
                  <c:v>1274.6902554276232</c:v>
                </c:pt>
                <c:pt idx="1">
                  <c:v>743.6596831176837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C-41CB-8174-20A3FE6420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48455295"/>
        <c:axId val="1888978319"/>
      </c:barChart>
      <c:catAx>
        <c:axId val="194845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88978319"/>
        <c:crosses val="autoZero"/>
        <c:auto val="1"/>
        <c:lblAlgn val="ctr"/>
        <c:lblOffset val="100"/>
        <c:noMultiLvlLbl val="0"/>
      </c:catAx>
      <c:valAx>
        <c:axId val="18889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4845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 analysis.csv.xlsx]cyclistic analysis!PivotTable32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rides by members and casuals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'cyclistic analysis'!$E$17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analysis'!$D$18:$D$20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analysis'!$E$18:$E$20</c:f>
              <c:numCache>
                <c:formatCode>General</c:formatCode>
                <c:ptCount val="2"/>
                <c:pt idx="0">
                  <c:v>2151032</c:v>
                </c:pt>
                <c:pt idx="1">
                  <c:v>3886872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6-4A7F-BA5F-8A27D3C834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80937551"/>
        <c:axId val="1843578991"/>
      </c:barChart>
      <c:catAx>
        <c:axId val="1880937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43578991"/>
        <c:crosses val="autoZero"/>
        <c:auto val="1"/>
        <c:lblAlgn val="ctr"/>
        <c:lblOffset val="100"/>
        <c:noMultiLvlLbl val="0"/>
      </c:catAx>
      <c:valAx>
        <c:axId val="1843578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8093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 analysis.csv.xlsx]cyclistic analysis!PivotTable33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K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Ride Duration by Day of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'cyclistic analysis'!$H$17:$H$18</c:f>
              <c:strCache>
                <c:ptCount val="1"/>
                <c:pt idx="0">
                  <c:v>casual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analysis'!$G$19:$G$26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'cyclistic analysis'!$H$19:$H$26</c:f>
              <c:numCache>
                <c:formatCode>General</c:formatCode>
                <c:ptCount val="7"/>
                <c:pt idx="0">
                  <c:v>1495.1389430704901</c:v>
                </c:pt>
                <c:pt idx="1">
                  <c:v>1267.67890131748</c:v>
                </c:pt>
                <c:pt idx="2">
                  <c:v>1095.7739041085499</c:v>
                </c:pt>
                <c:pt idx="3">
                  <c:v>1060.3376949809301</c:v>
                </c:pt>
                <c:pt idx="4">
                  <c:v>1121.1401785384901</c:v>
                </c:pt>
                <c:pt idx="5">
                  <c:v>1234.5971660555001</c:v>
                </c:pt>
                <c:pt idx="6">
                  <c:v>1434.48787301129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1F-4272-91BF-35FB27C88054}"/>
            </c:ext>
          </c:extLst>
        </c:ser>
        <c:ser>
          <c:idx val="1"/>
          <c:order val="1"/>
          <c:tx>
            <c:strRef>
              <c:f>'cyclistic analysis'!$I$17:$I$18</c:f>
              <c:strCache>
                <c:ptCount val="1"/>
                <c:pt idx="0">
                  <c:v>member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analysis'!$G$19:$G$26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'cyclistic analysis'!$I$19:$I$26</c:f>
              <c:numCache>
                <c:formatCode>General</c:formatCode>
                <c:ptCount val="7"/>
                <c:pt idx="0">
                  <c:v>813.82362062638094</c:v>
                </c:pt>
                <c:pt idx="1">
                  <c:v>723.94621310738899</c:v>
                </c:pt>
                <c:pt idx="2">
                  <c:v>714.12808891460702</c:v>
                </c:pt>
                <c:pt idx="3">
                  <c:v>714.49440223939803</c:v>
                </c:pt>
                <c:pt idx="4">
                  <c:v>717.97893791253205</c:v>
                </c:pt>
                <c:pt idx="5">
                  <c:v>738.45658896114799</c:v>
                </c:pt>
                <c:pt idx="6">
                  <c:v>817.92215984390396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1F-4272-91BF-35FB27C880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7743999"/>
        <c:axId val="1843589071"/>
      </c:lineChart>
      <c:catAx>
        <c:axId val="195774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43589071"/>
        <c:crosses val="autoZero"/>
        <c:auto val="1"/>
        <c:lblAlgn val="ctr"/>
        <c:lblOffset val="100"/>
        <c:noMultiLvlLbl val="0"/>
      </c:catAx>
      <c:valAx>
        <c:axId val="184358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5774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 analysis.csv.xlsx]cyclistic analysis!PivotTable3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800" b="1" i="0" u="none" strike="noStrike" baseline="0"/>
              <a:t>Number of Rides by Day of Week and Rider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'cyclistic analysis'!$B$10:$B$11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analysis'!$A$12:$A$14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analysis'!$B$12:$B$14</c:f>
              <c:numCache>
                <c:formatCode>General</c:formatCode>
                <c:ptCount val="2"/>
                <c:pt idx="0">
                  <c:v>357284</c:v>
                </c:pt>
                <c:pt idx="1">
                  <c:v>415274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8-427B-AE04-B31407E25A84}"/>
            </c:ext>
          </c:extLst>
        </c:ser>
        <c:ser>
          <c:idx val="1"/>
          <c:order val="1"/>
          <c:tx>
            <c:strRef>
              <c:f>'cyclistic analysis'!$C$10:$C$11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analysis'!$A$12:$A$14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analysis'!$C$12:$C$14</c:f>
              <c:numCache>
                <c:formatCode>General</c:formatCode>
                <c:ptCount val="2"/>
                <c:pt idx="0">
                  <c:v>244329</c:v>
                </c:pt>
                <c:pt idx="1">
                  <c:v>538719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8-427B-AE04-B31407E25A84}"/>
            </c:ext>
          </c:extLst>
        </c:ser>
        <c:ser>
          <c:idx val="2"/>
          <c:order val="2"/>
          <c:tx>
            <c:strRef>
              <c:f>'cyclistic analysis'!$D$10:$D$11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analysis'!$A$12:$A$14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analysis'!$D$12:$D$14</c:f>
              <c:numCache>
                <c:formatCode>General</c:formatCode>
                <c:ptCount val="2"/>
                <c:pt idx="0">
                  <c:v>238186</c:v>
                </c:pt>
                <c:pt idx="1">
                  <c:v>614331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8-427B-AE04-B31407E25A84}"/>
            </c:ext>
          </c:extLst>
        </c:ser>
        <c:ser>
          <c:idx val="3"/>
          <c:order val="3"/>
          <c:tx>
            <c:strRef>
              <c:f>'cyclistic analysis'!$E$10:$E$11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analysis'!$A$12:$A$14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analysis'!$E$12:$E$14</c:f>
              <c:numCache>
                <c:formatCode>General</c:formatCode>
                <c:ptCount val="2"/>
                <c:pt idx="0">
                  <c:v>246201</c:v>
                </c:pt>
                <c:pt idx="1">
                  <c:v>622935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28-427B-AE04-B31407E25A84}"/>
            </c:ext>
          </c:extLst>
        </c:ser>
        <c:ser>
          <c:idx val="4"/>
          <c:order val="4"/>
          <c:tx>
            <c:strRef>
              <c:f>'cyclistic analysis'!$F$10:$F$11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analysis'!$A$12:$A$14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analysis'!$F$12:$F$14</c:f>
              <c:numCache>
                <c:formatCode>General</c:formatCode>
                <c:ptCount val="2"/>
                <c:pt idx="0">
                  <c:v>267847</c:v>
                </c:pt>
                <c:pt idx="1">
                  <c:v>619497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28-427B-AE04-B31407E25A84}"/>
            </c:ext>
          </c:extLst>
        </c:ser>
        <c:ser>
          <c:idx val="5"/>
          <c:order val="5"/>
          <c:tx>
            <c:strRef>
              <c:f>'cyclistic analysis'!$G$10:$G$11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analysis'!$A$12:$A$14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analysis'!$G$12:$G$14</c:f>
              <c:numCache>
                <c:formatCode>General</c:formatCode>
                <c:ptCount val="2"/>
                <c:pt idx="0">
                  <c:v>339790</c:v>
                </c:pt>
                <c:pt idx="1">
                  <c:v>581546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28-427B-AE04-B31407E25A84}"/>
            </c:ext>
          </c:extLst>
        </c:ser>
        <c:ser>
          <c:idx val="6"/>
          <c:order val="6"/>
          <c:tx>
            <c:strRef>
              <c:f>'cyclistic analysis'!$H$10:$H$11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'cyclistic analysis'!$A$12:$A$14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'cyclistic analysis'!$H$12:$H$14</c:f>
              <c:numCache>
                <c:formatCode>General</c:formatCode>
                <c:ptCount val="2"/>
                <c:pt idx="0">
                  <c:v>457395</c:v>
                </c:pt>
                <c:pt idx="1">
                  <c:v>494570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28-427B-AE04-B31407E25A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4637967"/>
        <c:axId val="1843542031"/>
      </c:barChart>
      <c:catAx>
        <c:axId val="1984637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43542031"/>
        <c:crosses val="autoZero"/>
        <c:auto val="1"/>
        <c:lblAlgn val="ctr"/>
        <c:lblOffset val="100"/>
        <c:noMultiLvlLbl val="0"/>
      </c:catAx>
      <c:valAx>
        <c:axId val="1843542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8463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avg_ride_length!$C$1</c:f>
              <c:strCache>
                <c:ptCount val="1"/>
                <c:pt idx="0">
                  <c:v>number_of_rides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avg_ride_length!$A$2:$B$15</c:f>
              <c:multiLvlStrCache>
                <c:ptCount val="14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Tuesday</c:v>
                  </c:pt>
                  <c:pt idx="3">
                    <c:v>Wednesday</c:v>
                  </c:pt>
                  <c:pt idx="4">
                    <c:v>Thursday</c:v>
                  </c:pt>
                  <c:pt idx="5">
                    <c:v>Friday</c:v>
                  </c:pt>
                  <c:pt idx="6">
                    <c:v>Saturday</c:v>
                  </c:pt>
                  <c:pt idx="7">
                    <c:v>Sunday</c:v>
                  </c:pt>
                  <c:pt idx="8">
                    <c:v>Monday</c:v>
                  </c:pt>
                  <c:pt idx="9">
                    <c:v>Tuesday</c:v>
                  </c:pt>
                  <c:pt idx="10">
                    <c:v>Wednesday</c:v>
                  </c:pt>
                  <c:pt idx="11">
                    <c:v>Thursday</c:v>
                  </c:pt>
                  <c:pt idx="12">
                    <c:v>Friday</c:v>
                  </c:pt>
                  <c:pt idx="13">
                    <c:v>Saturday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casual</c:v>
                  </c:pt>
                  <c:pt idx="5">
                    <c:v>casual</c:v>
                  </c:pt>
                  <c:pt idx="6">
                    <c:v>casual</c:v>
                  </c:pt>
                  <c:pt idx="7">
                    <c:v>member</c:v>
                  </c:pt>
                  <c:pt idx="8">
                    <c:v>member</c:v>
                  </c:pt>
                  <c:pt idx="9">
                    <c:v>member</c:v>
                  </c:pt>
                  <c:pt idx="10">
                    <c:v>member</c:v>
                  </c:pt>
                  <c:pt idx="11">
                    <c:v>member</c:v>
                  </c:pt>
                  <c:pt idx="12">
                    <c:v>member</c:v>
                  </c:pt>
                  <c:pt idx="13">
                    <c:v>member</c:v>
                  </c:pt>
                </c:lvl>
              </c:multiLvlStrCache>
            </c:multiLvlStrRef>
          </c:cat>
          <c:val>
            <c:numRef>
              <c:f>avg_ride_length!$C$2:$C$15</c:f>
              <c:numCache>
                <c:formatCode>General</c:formatCode>
                <c:ptCount val="14"/>
                <c:pt idx="0">
                  <c:v>357284</c:v>
                </c:pt>
                <c:pt idx="1">
                  <c:v>244329</c:v>
                </c:pt>
                <c:pt idx="2">
                  <c:v>238186</c:v>
                </c:pt>
                <c:pt idx="3">
                  <c:v>246201</c:v>
                </c:pt>
                <c:pt idx="4">
                  <c:v>267847</c:v>
                </c:pt>
                <c:pt idx="5">
                  <c:v>339790</c:v>
                </c:pt>
                <c:pt idx="6">
                  <c:v>457395</c:v>
                </c:pt>
                <c:pt idx="7">
                  <c:v>415274</c:v>
                </c:pt>
                <c:pt idx="8">
                  <c:v>538719</c:v>
                </c:pt>
                <c:pt idx="9">
                  <c:v>614331</c:v>
                </c:pt>
                <c:pt idx="10">
                  <c:v>622935</c:v>
                </c:pt>
                <c:pt idx="11">
                  <c:v>619497</c:v>
                </c:pt>
                <c:pt idx="12">
                  <c:v>581546</c:v>
                </c:pt>
                <c:pt idx="13">
                  <c:v>494570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7-480A-A6F1-E394D6F3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8504943"/>
        <c:axId val="18889802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avg_ride_length!$D$1</c15:sqref>
                        </c15:formulaRef>
                      </c:ext>
                    </c:extLst>
                    <c:strCache>
                      <c:ptCount val="1"/>
                      <c:pt idx="0">
                        <c:v>average_duration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avg_ride_length!$D$2:$D$15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1495.1389430704901</c:v>
                      </c:pt>
                      <c:pt idx="1">
                        <c:v>1267.67890131748</c:v>
                      </c:pt>
                      <c:pt idx="2">
                        <c:v>1095.7739041085499</c:v>
                      </c:pt>
                      <c:pt idx="3">
                        <c:v>1060.3376949809301</c:v>
                      </c:pt>
                      <c:pt idx="4">
                        <c:v>1121.1401785384901</c:v>
                      </c:pt>
                      <c:pt idx="5">
                        <c:v>1234.5971660555001</c:v>
                      </c:pt>
                      <c:pt idx="6">
                        <c:v>1434.48787301129</c:v>
                      </c:pt>
                      <c:pt idx="7">
                        <c:v>813.82362062638094</c:v>
                      </c:pt>
                      <c:pt idx="8">
                        <c:v>723.94621310738899</c:v>
                      </c:pt>
                      <c:pt idx="9">
                        <c:v>714.12808891460702</c:v>
                      </c:pt>
                      <c:pt idx="10">
                        <c:v>714.49440223939803</c:v>
                      </c:pt>
                      <c:pt idx="11">
                        <c:v>717.97893791253205</c:v>
                      </c:pt>
                      <c:pt idx="12">
                        <c:v>738.45658896114799</c:v>
                      </c:pt>
                      <c:pt idx="13">
                        <c:v>817.92215984390396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DD7-480A-A6F1-E394D6F3C26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avg_ride_length!$E$1</c15:sqref>
                        </c15:formulaRef>
                      </c:ext>
                    </c:extLst>
                    <c:strCache>
                      <c:ptCount val="1"/>
                      <c:pt idx="0">
                        <c:v>classic_bike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avg_ride_length!$E$2:$E$15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114296</c:v>
                      </c:pt>
                      <c:pt idx="1">
                        <c:v>70258</c:v>
                      </c:pt>
                      <c:pt idx="2">
                        <c:v>61873</c:v>
                      </c:pt>
                      <c:pt idx="3">
                        <c:v>61918</c:v>
                      </c:pt>
                      <c:pt idx="4">
                        <c:v>68308</c:v>
                      </c:pt>
                      <c:pt idx="5">
                        <c:v>92045</c:v>
                      </c:pt>
                      <c:pt idx="6">
                        <c:v>143601</c:v>
                      </c:pt>
                      <c:pt idx="7">
                        <c:v>143444</c:v>
                      </c:pt>
                      <c:pt idx="8">
                        <c:v>185836</c:v>
                      </c:pt>
                      <c:pt idx="9">
                        <c:v>204182</c:v>
                      </c:pt>
                      <c:pt idx="10">
                        <c:v>202823</c:v>
                      </c:pt>
                      <c:pt idx="11">
                        <c:v>197494</c:v>
                      </c:pt>
                      <c:pt idx="12">
                        <c:v>184230</c:v>
                      </c:pt>
                      <c:pt idx="13">
                        <c:v>160898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DD7-480A-A6F1-E394D6F3C26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avg_ride_length!$F$1</c15:sqref>
                        </c15:formulaRef>
                      </c:ext>
                    </c:extLst>
                    <c:strCache>
                      <c:ptCount val="1"/>
                      <c:pt idx="0">
                        <c:v>electric_bike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avg_ride_length!$F$2:$F$15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242988</c:v>
                      </c:pt>
                      <c:pt idx="1">
                        <c:v>174071</c:v>
                      </c:pt>
                      <c:pt idx="2">
                        <c:v>176313</c:v>
                      </c:pt>
                      <c:pt idx="3">
                        <c:v>184283</c:v>
                      </c:pt>
                      <c:pt idx="4">
                        <c:v>199539</c:v>
                      </c:pt>
                      <c:pt idx="5">
                        <c:v>247745</c:v>
                      </c:pt>
                      <c:pt idx="6">
                        <c:v>313794</c:v>
                      </c:pt>
                      <c:pt idx="7">
                        <c:v>271830</c:v>
                      </c:pt>
                      <c:pt idx="8">
                        <c:v>352883</c:v>
                      </c:pt>
                      <c:pt idx="9">
                        <c:v>410149</c:v>
                      </c:pt>
                      <c:pt idx="10">
                        <c:v>420112</c:v>
                      </c:pt>
                      <c:pt idx="11">
                        <c:v>422003</c:v>
                      </c:pt>
                      <c:pt idx="12">
                        <c:v>397316</c:v>
                      </c:pt>
                      <c:pt idx="13">
                        <c:v>333672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DD7-480A-A6F1-E394D6F3C26C}"/>
                  </c:ext>
                </c:extLst>
              </c15:ser>
            </c15:filteredBarSeries>
          </c:ext>
        </c:extLst>
      </c:barChart>
      <c:catAx>
        <c:axId val="19485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88980239"/>
        <c:crosses val="autoZero"/>
        <c:auto val="1"/>
        <c:lblAlgn val="ctr"/>
        <c:lblOffset val="100"/>
        <c:noMultiLvlLbl val="0"/>
      </c:catAx>
      <c:valAx>
        <c:axId val="18889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4850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Electric</a:t>
            </a:r>
            <a:r>
              <a:rPr lang="en-US" baseline="0"/>
              <a:t> vs Classic Bike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avg_ride_length!$E$1</c:f>
              <c:strCache>
                <c:ptCount val="1"/>
                <c:pt idx="0">
                  <c:v>classic_bike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avg_ride_length!$A$2:$B$15</c:f>
              <c:multiLvlStrCache>
                <c:ptCount val="14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Tuesday</c:v>
                  </c:pt>
                  <c:pt idx="3">
                    <c:v>Wednesday</c:v>
                  </c:pt>
                  <c:pt idx="4">
                    <c:v>Thursday</c:v>
                  </c:pt>
                  <c:pt idx="5">
                    <c:v>Friday</c:v>
                  </c:pt>
                  <c:pt idx="6">
                    <c:v>Saturday</c:v>
                  </c:pt>
                  <c:pt idx="7">
                    <c:v>Sunday</c:v>
                  </c:pt>
                  <c:pt idx="8">
                    <c:v>Monday</c:v>
                  </c:pt>
                  <c:pt idx="9">
                    <c:v>Tuesday</c:v>
                  </c:pt>
                  <c:pt idx="10">
                    <c:v>Wednesday</c:v>
                  </c:pt>
                  <c:pt idx="11">
                    <c:v>Thursday</c:v>
                  </c:pt>
                  <c:pt idx="12">
                    <c:v>Friday</c:v>
                  </c:pt>
                  <c:pt idx="13">
                    <c:v>Saturday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casual</c:v>
                  </c:pt>
                  <c:pt idx="5">
                    <c:v>casual</c:v>
                  </c:pt>
                  <c:pt idx="6">
                    <c:v>casual</c:v>
                  </c:pt>
                  <c:pt idx="7">
                    <c:v>member</c:v>
                  </c:pt>
                  <c:pt idx="8">
                    <c:v>member</c:v>
                  </c:pt>
                  <c:pt idx="9">
                    <c:v>member</c:v>
                  </c:pt>
                  <c:pt idx="10">
                    <c:v>member</c:v>
                  </c:pt>
                  <c:pt idx="11">
                    <c:v>member</c:v>
                  </c:pt>
                  <c:pt idx="12">
                    <c:v>member</c:v>
                  </c:pt>
                  <c:pt idx="13">
                    <c:v>member</c:v>
                  </c:pt>
                </c:lvl>
              </c:multiLvlStrCache>
            </c:multiLvlStrRef>
          </c:cat>
          <c:val>
            <c:numRef>
              <c:f>avg_ride_length!$E$2:$E$15</c:f>
              <c:numCache>
                <c:formatCode>General</c:formatCode>
                <c:ptCount val="14"/>
                <c:pt idx="0">
                  <c:v>114296</c:v>
                </c:pt>
                <c:pt idx="1">
                  <c:v>70258</c:v>
                </c:pt>
                <c:pt idx="2">
                  <c:v>61873</c:v>
                </c:pt>
                <c:pt idx="3">
                  <c:v>61918</c:v>
                </c:pt>
                <c:pt idx="4">
                  <c:v>68308</c:v>
                </c:pt>
                <c:pt idx="5">
                  <c:v>92045</c:v>
                </c:pt>
                <c:pt idx="6">
                  <c:v>143601</c:v>
                </c:pt>
                <c:pt idx="7">
                  <c:v>143444</c:v>
                </c:pt>
                <c:pt idx="8">
                  <c:v>185836</c:v>
                </c:pt>
                <c:pt idx="9">
                  <c:v>204182</c:v>
                </c:pt>
                <c:pt idx="10">
                  <c:v>202823</c:v>
                </c:pt>
                <c:pt idx="11">
                  <c:v>197494</c:v>
                </c:pt>
                <c:pt idx="12">
                  <c:v>184230</c:v>
                </c:pt>
                <c:pt idx="13">
                  <c:v>160898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8-478E-B8A5-C1AE41A2365F}"/>
            </c:ext>
          </c:extLst>
        </c:ser>
        <c:ser>
          <c:idx val="3"/>
          <c:order val="3"/>
          <c:tx>
            <c:strRef>
              <c:f>avg_ride_length!$F$1</c:f>
              <c:strCache>
                <c:ptCount val="1"/>
                <c:pt idx="0">
                  <c:v>electric_bike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avg_ride_length!$A$2:$B$15</c:f>
              <c:multiLvlStrCache>
                <c:ptCount val="14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Tuesday</c:v>
                  </c:pt>
                  <c:pt idx="3">
                    <c:v>Wednesday</c:v>
                  </c:pt>
                  <c:pt idx="4">
                    <c:v>Thursday</c:v>
                  </c:pt>
                  <c:pt idx="5">
                    <c:v>Friday</c:v>
                  </c:pt>
                  <c:pt idx="6">
                    <c:v>Saturday</c:v>
                  </c:pt>
                  <c:pt idx="7">
                    <c:v>Sunday</c:v>
                  </c:pt>
                  <c:pt idx="8">
                    <c:v>Monday</c:v>
                  </c:pt>
                  <c:pt idx="9">
                    <c:v>Tuesday</c:v>
                  </c:pt>
                  <c:pt idx="10">
                    <c:v>Wednesday</c:v>
                  </c:pt>
                  <c:pt idx="11">
                    <c:v>Thursday</c:v>
                  </c:pt>
                  <c:pt idx="12">
                    <c:v>Friday</c:v>
                  </c:pt>
                  <c:pt idx="13">
                    <c:v>Saturday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casual</c:v>
                  </c:pt>
                  <c:pt idx="5">
                    <c:v>casual</c:v>
                  </c:pt>
                  <c:pt idx="6">
                    <c:v>casual</c:v>
                  </c:pt>
                  <c:pt idx="7">
                    <c:v>member</c:v>
                  </c:pt>
                  <c:pt idx="8">
                    <c:v>member</c:v>
                  </c:pt>
                  <c:pt idx="9">
                    <c:v>member</c:v>
                  </c:pt>
                  <c:pt idx="10">
                    <c:v>member</c:v>
                  </c:pt>
                  <c:pt idx="11">
                    <c:v>member</c:v>
                  </c:pt>
                  <c:pt idx="12">
                    <c:v>member</c:v>
                  </c:pt>
                  <c:pt idx="13">
                    <c:v>member</c:v>
                  </c:pt>
                </c:lvl>
              </c:multiLvlStrCache>
            </c:multiLvlStrRef>
          </c:cat>
          <c:val>
            <c:numRef>
              <c:f>avg_ride_length!$F$2:$F$15</c:f>
              <c:numCache>
                <c:formatCode>General</c:formatCode>
                <c:ptCount val="14"/>
                <c:pt idx="0">
                  <c:v>242988</c:v>
                </c:pt>
                <c:pt idx="1">
                  <c:v>174071</c:v>
                </c:pt>
                <c:pt idx="2">
                  <c:v>176313</c:v>
                </c:pt>
                <c:pt idx="3">
                  <c:v>184283</c:v>
                </c:pt>
                <c:pt idx="4">
                  <c:v>199539</c:v>
                </c:pt>
                <c:pt idx="5">
                  <c:v>247745</c:v>
                </c:pt>
                <c:pt idx="6">
                  <c:v>313794</c:v>
                </c:pt>
                <c:pt idx="7">
                  <c:v>271830</c:v>
                </c:pt>
                <c:pt idx="8">
                  <c:v>352883</c:v>
                </c:pt>
                <c:pt idx="9">
                  <c:v>410149</c:v>
                </c:pt>
                <c:pt idx="10">
                  <c:v>420112</c:v>
                </c:pt>
                <c:pt idx="11">
                  <c:v>422003</c:v>
                </c:pt>
                <c:pt idx="12">
                  <c:v>397316</c:v>
                </c:pt>
                <c:pt idx="13">
                  <c:v>333672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8-478E-B8A5-C1AE41A23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8478959"/>
        <c:axId val="18889379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avg_ride_length!$C$1</c15:sqref>
                        </c15:formulaRef>
                      </c:ext>
                    </c:extLst>
                    <c:strCache>
                      <c:ptCount val="1"/>
                      <c:pt idx="0">
                        <c:v>number_of_rides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avg_ride_length!$C$2:$C$15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357284</c:v>
                      </c:pt>
                      <c:pt idx="1">
                        <c:v>244329</c:v>
                      </c:pt>
                      <c:pt idx="2">
                        <c:v>238186</c:v>
                      </c:pt>
                      <c:pt idx="3">
                        <c:v>246201</c:v>
                      </c:pt>
                      <c:pt idx="4">
                        <c:v>267847</c:v>
                      </c:pt>
                      <c:pt idx="5">
                        <c:v>339790</c:v>
                      </c:pt>
                      <c:pt idx="6">
                        <c:v>457395</c:v>
                      </c:pt>
                      <c:pt idx="7">
                        <c:v>415274</c:v>
                      </c:pt>
                      <c:pt idx="8">
                        <c:v>538719</c:v>
                      </c:pt>
                      <c:pt idx="9">
                        <c:v>614331</c:v>
                      </c:pt>
                      <c:pt idx="10">
                        <c:v>622935</c:v>
                      </c:pt>
                      <c:pt idx="11">
                        <c:v>619497</c:v>
                      </c:pt>
                      <c:pt idx="12">
                        <c:v>581546</c:v>
                      </c:pt>
                      <c:pt idx="13">
                        <c:v>494570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7A8-478E-B8A5-C1AE41A2365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avg_ride_length!$D$1</c15:sqref>
                        </c15:formulaRef>
                      </c:ext>
                    </c:extLst>
                    <c:strCache>
                      <c:ptCount val="1"/>
                      <c:pt idx="0">
                        <c:v>average_duration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avg_ride_length!$D$2:$D$15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1495.1389430704901</c:v>
                      </c:pt>
                      <c:pt idx="1">
                        <c:v>1267.67890131748</c:v>
                      </c:pt>
                      <c:pt idx="2">
                        <c:v>1095.7739041085499</c:v>
                      </c:pt>
                      <c:pt idx="3">
                        <c:v>1060.3376949809301</c:v>
                      </c:pt>
                      <c:pt idx="4">
                        <c:v>1121.1401785384901</c:v>
                      </c:pt>
                      <c:pt idx="5">
                        <c:v>1234.5971660555001</c:v>
                      </c:pt>
                      <c:pt idx="6">
                        <c:v>1434.48787301129</c:v>
                      </c:pt>
                      <c:pt idx="7">
                        <c:v>813.82362062638094</c:v>
                      </c:pt>
                      <c:pt idx="8">
                        <c:v>723.94621310738899</c:v>
                      </c:pt>
                      <c:pt idx="9">
                        <c:v>714.12808891460702</c:v>
                      </c:pt>
                      <c:pt idx="10">
                        <c:v>714.49440223939803</c:v>
                      </c:pt>
                      <c:pt idx="11">
                        <c:v>717.97893791253205</c:v>
                      </c:pt>
                      <c:pt idx="12">
                        <c:v>738.45658896114799</c:v>
                      </c:pt>
                      <c:pt idx="13">
                        <c:v>817.92215984390396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7A8-478E-B8A5-C1AE41A2365F}"/>
                  </c:ext>
                </c:extLst>
              </c15:ser>
            </c15:filteredBarSeries>
          </c:ext>
        </c:extLst>
      </c:barChart>
      <c:catAx>
        <c:axId val="194847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88937999"/>
        <c:crosses val="autoZero"/>
        <c:auto val="1"/>
        <c:lblAlgn val="ctr"/>
        <c:lblOffset val="100"/>
        <c:noMultiLvlLbl val="0"/>
      </c:catAx>
      <c:valAx>
        <c:axId val="1888937999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4847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avg_ride_length!$D$1</c:f>
              <c:strCache>
                <c:ptCount val="1"/>
                <c:pt idx="0">
                  <c:v>average_duration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avg_ride_length!$A$2:$B$15</c:f>
              <c:multiLvlStrCache>
                <c:ptCount val="14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Tuesday</c:v>
                  </c:pt>
                  <c:pt idx="3">
                    <c:v>Wednesday</c:v>
                  </c:pt>
                  <c:pt idx="4">
                    <c:v>Thursday</c:v>
                  </c:pt>
                  <c:pt idx="5">
                    <c:v>Friday</c:v>
                  </c:pt>
                  <c:pt idx="6">
                    <c:v>Saturday</c:v>
                  </c:pt>
                  <c:pt idx="7">
                    <c:v>Sunday</c:v>
                  </c:pt>
                  <c:pt idx="8">
                    <c:v>Monday</c:v>
                  </c:pt>
                  <c:pt idx="9">
                    <c:v>Tuesday</c:v>
                  </c:pt>
                  <c:pt idx="10">
                    <c:v>Wednesday</c:v>
                  </c:pt>
                  <c:pt idx="11">
                    <c:v>Thursday</c:v>
                  </c:pt>
                  <c:pt idx="12">
                    <c:v>Friday</c:v>
                  </c:pt>
                  <c:pt idx="13">
                    <c:v>Saturday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casual</c:v>
                  </c:pt>
                  <c:pt idx="5">
                    <c:v>casual</c:v>
                  </c:pt>
                  <c:pt idx="6">
                    <c:v>casual</c:v>
                  </c:pt>
                  <c:pt idx="7">
                    <c:v>member</c:v>
                  </c:pt>
                  <c:pt idx="8">
                    <c:v>member</c:v>
                  </c:pt>
                  <c:pt idx="9">
                    <c:v>member</c:v>
                  </c:pt>
                  <c:pt idx="10">
                    <c:v>member</c:v>
                  </c:pt>
                  <c:pt idx="11">
                    <c:v>member</c:v>
                  </c:pt>
                  <c:pt idx="12">
                    <c:v>member</c:v>
                  </c:pt>
                  <c:pt idx="13">
                    <c:v>member</c:v>
                  </c:pt>
                </c:lvl>
              </c:multiLvlStrCache>
            </c:multiLvlStrRef>
          </c:cat>
          <c:val>
            <c:numRef>
              <c:f>avg_ride_length!$D$2:$D$15</c:f>
              <c:numCache>
                <c:formatCode>General</c:formatCode>
                <c:ptCount val="14"/>
                <c:pt idx="0">
                  <c:v>1495.1389430704901</c:v>
                </c:pt>
                <c:pt idx="1">
                  <c:v>1267.67890131748</c:v>
                </c:pt>
                <c:pt idx="2">
                  <c:v>1095.7739041085499</c:v>
                </c:pt>
                <c:pt idx="3">
                  <c:v>1060.3376949809301</c:v>
                </c:pt>
                <c:pt idx="4">
                  <c:v>1121.1401785384901</c:v>
                </c:pt>
                <c:pt idx="5">
                  <c:v>1234.5971660555001</c:v>
                </c:pt>
                <c:pt idx="6">
                  <c:v>1434.48787301129</c:v>
                </c:pt>
                <c:pt idx="7">
                  <c:v>813.82362062638094</c:v>
                </c:pt>
                <c:pt idx="8">
                  <c:v>723.94621310738899</c:v>
                </c:pt>
                <c:pt idx="9">
                  <c:v>714.12808891460702</c:v>
                </c:pt>
                <c:pt idx="10">
                  <c:v>714.49440223939803</c:v>
                </c:pt>
                <c:pt idx="11">
                  <c:v>717.97893791253205</c:v>
                </c:pt>
                <c:pt idx="12">
                  <c:v>738.45658896114799</c:v>
                </c:pt>
                <c:pt idx="13">
                  <c:v>817.92215984390396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3-43AC-A8C1-68EDEAFA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648783"/>
        <c:axId val="1888944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avg_ride_length!$C$1</c15:sqref>
                        </c15:formulaRef>
                      </c:ext>
                    </c:extLst>
                    <c:strCache>
                      <c:ptCount val="1"/>
                      <c:pt idx="0">
                        <c:v>number_of_rides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avg_ride_length!$C$2:$C$15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357284</c:v>
                      </c:pt>
                      <c:pt idx="1">
                        <c:v>244329</c:v>
                      </c:pt>
                      <c:pt idx="2">
                        <c:v>238186</c:v>
                      </c:pt>
                      <c:pt idx="3">
                        <c:v>246201</c:v>
                      </c:pt>
                      <c:pt idx="4">
                        <c:v>267847</c:v>
                      </c:pt>
                      <c:pt idx="5">
                        <c:v>339790</c:v>
                      </c:pt>
                      <c:pt idx="6">
                        <c:v>457395</c:v>
                      </c:pt>
                      <c:pt idx="7">
                        <c:v>415274</c:v>
                      </c:pt>
                      <c:pt idx="8">
                        <c:v>538719</c:v>
                      </c:pt>
                      <c:pt idx="9">
                        <c:v>614331</c:v>
                      </c:pt>
                      <c:pt idx="10">
                        <c:v>622935</c:v>
                      </c:pt>
                      <c:pt idx="11">
                        <c:v>619497</c:v>
                      </c:pt>
                      <c:pt idx="12">
                        <c:v>581546</c:v>
                      </c:pt>
                      <c:pt idx="13">
                        <c:v>494570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D43-43AC-A8C1-68EDEAFA631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avg_ride_length!$E$1</c15:sqref>
                        </c15:formulaRef>
                      </c:ext>
                    </c:extLst>
                    <c:strCache>
                      <c:ptCount val="1"/>
                      <c:pt idx="0">
                        <c:v>classic_bike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avg_ride_length!$E$2:$E$15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114296</c:v>
                      </c:pt>
                      <c:pt idx="1">
                        <c:v>70258</c:v>
                      </c:pt>
                      <c:pt idx="2">
                        <c:v>61873</c:v>
                      </c:pt>
                      <c:pt idx="3">
                        <c:v>61918</c:v>
                      </c:pt>
                      <c:pt idx="4">
                        <c:v>68308</c:v>
                      </c:pt>
                      <c:pt idx="5">
                        <c:v>92045</c:v>
                      </c:pt>
                      <c:pt idx="6">
                        <c:v>143601</c:v>
                      </c:pt>
                      <c:pt idx="7">
                        <c:v>143444</c:v>
                      </c:pt>
                      <c:pt idx="8">
                        <c:v>185836</c:v>
                      </c:pt>
                      <c:pt idx="9">
                        <c:v>204182</c:v>
                      </c:pt>
                      <c:pt idx="10">
                        <c:v>202823</c:v>
                      </c:pt>
                      <c:pt idx="11">
                        <c:v>197494</c:v>
                      </c:pt>
                      <c:pt idx="12">
                        <c:v>184230</c:v>
                      </c:pt>
                      <c:pt idx="13">
                        <c:v>160898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D43-43AC-A8C1-68EDEAFA631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avg_ride_length!$F$1</c15:sqref>
                        </c15:formulaRef>
                      </c:ext>
                    </c:extLst>
                    <c:strCache>
                      <c:ptCount val="1"/>
                      <c:pt idx="0">
                        <c:v>electric_bike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Sunday</c:v>
                        </c:pt>
                        <c:pt idx="1">
                          <c:v>Monday</c:v>
                        </c:pt>
                        <c:pt idx="2">
                          <c:v>Tuesday</c:v>
                        </c:pt>
                        <c:pt idx="3">
                          <c:v>Wednesday</c:v>
                        </c:pt>
                        <c:pt idx="4">
                          <c:v>Thursday</c:v>
                        </c:pt>
                        <c:pt idx="5">
                          <c:v>Friday</c:v>
                        </c:pt>
                        <c:pt idx="6">
                          <c:v>Saturday</c:v>
                        </c:pt>
                        <c:pt idx="7">
                          <c:v>Sunday</c:v>
                        </c:pt>
                        <c:pt idx="8">
                          <c:v>Monday</c:v>
                        </c:pt>
                        <c:pt idx="9">
                          <c:v>Tuesday</c:v>
                        </c:pt>
                        <c:pt idx="10">
                          <c:v>Wednesday</c:v>
                        </c:pt>
                        <c:pt idx="11">
                          <c:v>Thursday</c:v>
                        </c:pt>
                        <c:pt idx="12">
                          <c:v>Friday</c:v>
                        </c:pt>
                        <c:pt idx="13">
                          <c:v>Saturday</c:v>
                        </c:pt>
                      </c:lvl>
                      <c:lvl>
                        <c:pt idx="0">
                          <c:v>casual</c:v>
                        </c:pt>
                        <c:pt idx="1">
                          <c:v>casual</c:v>
                        </c:pt>
                        <c:pt idx="2">
                          <c:v>casual</c:v>
                        </c:pt>
                        <c:pt idx="3">
                          <c:v>casual</c:v>
                        </c:pt>
                        <c:pt idx="4">
                          <c:v>casual</c:v>
                        </c:pt>
                        <c:pt idx="5">
                          <c:v>casual</c:v>
                        </c:pt>
                        <c:pt idx="6">
                          <c:v>casual</c:v>
                        </c:pt>
                        <c:pt idx="7">
                          <c:v>member</c:v>
                        </c:pt>
                        <c:pt idx="8">
                          <c:v>member</c:v>
                        </c:pt>
                        <c:pt idx="9">
                          <c:v>member</c:v>
                        </c:pt>
                        <c:pt idx="10">
                          <c:v>member</c:v>
                        </c:pt>
                        <c:pt idx="11">
                          <c:v>member</c:v>
                        </c:pt>
                        <c:pt idx="12">
                          <c:v>member</c:v>
                        </c:pt>
                        <c:pt idx="13">
                          <c:v>member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avg_ride_length!$F$2:$F$15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242988</c:v>
                      </c:pt>
                      <c:pt idx="1">
                        <c:v>174071</c:v>
                      </c:pt>
                      <c:pt idx="2">
                        <c:v>176313</c:v>
                      </c:pt>
                      <c:pt idx="3">
                        <c:v>184283</c:v>
                      </c:pt>
                      <c:pt idx="4">
                        <c:v>199539</c:v>
                      </c:pt>
                      <c:pt idx="5">
                        <c:v>247745</c:v>
                      </c:pt>
                      <c:pt idx="6">
                        <c:v>313794</c:v>
                      </c:pt>
                      <c:pt idx="7">
                        <c:v>271830</c:v>
                      </c:pt>
                      <c:pt idx="8">
                        <c:v>352883</c:v>
                      </c:pt>
                      <c:pt idx="9">
                        <c:v>410149</c:v>
                      </c:pt>
                      <c:pt idx="10">
                        <c:v>420112</c:v>
                      </c:pt>
                      <c:pt idx="11">
                        <c:v>422003</c:v>
                      </c:pt>
                      <c:pt idx="12">
                        <c:v>397316</c:v>
                      </c:pt>
                      <c:pt idx="13">
                        <c:v>333672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D43-43AC-A8C1-68EDEAFA6318}"/>
                  </c:ext>
                </c:extLst>
              </c15:ser>
            </c15:filteredLineSeries>
          </c:ext>
        </c:extLst>
      </c:lineChart>
      <c:catAx>
        <c:axId val="175264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88944239"/>
        <c:crosses val="autoZero"/>
        <c:auto val="1"/>
        <c:lblAlgn val="ctr"/>
        <c:lblOffset val="100"/>
        <c:noMultiLvlLbl val="0"/>
      </c:catAx>
      <c:valAx>
        <c:axId val="18889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5264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24</xdr:row>
      <xdr:rowOff>128587</xdr:rowOff>
    </xdr:from>
    <xdr:to>
      <xdr:col>12</xdr:col>
      <xdr:colOff>981075</xdr:colOff>
      <xdr:row>39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4A9E5-24AF-7D37-EE2C-FDABD547D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26</xdr:row>
      <xdr:rowOff>185737</xdr:rowOff>
    </xdr:from>
    <xdr:to>
      <xdr:col>7</xdr:col>
      <xdr:colOff>114300</xdr:colOff>
      <xdr:row>41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0A39B7-80CC-062F-B048-B8DE58CC0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</xdr:row>
      <xdr:rowOff>176212</xdr:rowOff>
    </xdr:from>
    <xdr:to>
      <xdr:col>6</xdr:col>
      <xdr:colOff>1228725</xdr:colOff>
      <xdr:row>17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8B4AEC-2B03-9F8B-B1C7-BB6530274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561975</xdr:colOff>
      <xdr:row>5</xdr:row>
      <xdr:rowOff>128586</xdr:rowOff>
    </xdr:from>
    <xdr:to>
      <xdr:col>6</xdr:col>
      <xdr:colOff>1152525</xdr:colOff>
      <xdr:row>24</xdr:row>
      <xdr:rowOff>114299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73704D-1117-AB3E-1B38-420452A67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19</xdr:row>
      <xdr:rowOff>71437</xdr:rowOff>
    </xdr:from>
    <xdr:to>
      <xdr:col>11</xdr:col>
      <xdr:colOff>419100</xdr:colOff>
      <xdr:row>37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8F003B-2D48-52FE-1931-40EAD8E12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47624</xdr:colOff>
      <xdr:row>1</xdr:row>
      <xdr:rowOff>19051</xdr:rowOff>
    </xdr:from>
    <xdr:to>
      <xdr:col>19</xdr:col>
      <xdr:colOff>552450</xdr:colOff>
      <xdr:row>19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10BAFD-4E8D-1305-A3B5-A46295782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1057275</xdr:colOff>
      <xdr:row>1</xdr:row>
      <xdr:rowOff>185737</xdr:rowOff>
    </xdr:from>
    <xdr:to>
      <xdr:col>10</xdr:col>
      <xdr:colOff>295275</xdr:colOff>
      <xdr:row>16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62F55A9-DD22-6531-3599-7492CB872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hashir" refreshedDate="46254.189501157409" createdVersion="8" refreshedVersion="8" minRefreshableVersion="3" recordCount="14" xr:uid="{3B8676D6-7B15-401A-A690-D2623815E330}">
  <cacheSource type="worksheet">
    <worksheetSource ref="A1:G15" sheet="avg_ride_length"/>
  </cacheSource>
  <cacheFields count="8">
    <cacheField name="member_casual" numFmtId="0">
      <sharedItems count="2">
        <s v="casual"/>
        <s v="member"/>
      </sharedItems>
    </cacheField>
    <cacheField name="day_of_week" numFmtId="0">
      <sharedItems/>
    </cacheField>
    <cacheField name="number_of_rides" numFmtId="0">
      <sharedItems containsSemiMixedTypes="0" containsString="0" containsNumber="1" containsInteger="1" minValue="238186" maxValue="622935"/>
    </cacheField>
    <cacheField name="average_duration" numFmtId="0">
      <sharedItems containsSemiMixedTypes="0" containsString="0" containsNumber="1" minValue="714.12808891460702" maxValue="1495.1389430704901"/>
    </cacheField>
    <cacheField name="classic_bike" numFmtId="0">
      <sharedItems containsSemiMixedTypes="0" containsString="0" containsNumber="1" containsInteger="1" minValue="61873" maxValue="204182"/>
    </cacheField>
    <cacheField name="electric_bike" numFmtId="0">
      <sharedItems containsSemiMixedTypes="0" containsString="0" containsNumber="1" containsInteger="1" minValue="174071" maxValue="422003"/>
    </cacheField>
    <cacheField name="total_time_seconds" numFmtId="0">
      <sharedItems containsSemiMixedTypes="0" containsString="0" containsNumber="1" minValue="260998003.12399906" maxValue="656127580.67599905"/>
    </cacheField>
    <cacheField name="Average Duration" numFmtId="0" formula="total_time_seconds/number_of_rid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hashir" refreshedDate="46254.190196064817" createdVersion="8" refreshedVersion="8" minRefreshableVersion="3" recordCount="14" xr:uid="{4BA79446-43F1-4602-B14C-69C38F5B4400}">
  <cacheSource type="worksheet">
    <worksheetSource ref="A1:F15" sheet="avg_ride_length"/>
  </cacheSource>
  <cacheFields count="6">
    <cacheField name="member_casual" numFmtId="0">
      <sharedItems count="2">
        <s v="casual"/>
        <s v="member"/>
      </sharedItems>
    </cacheField>
    <cacheField name="day_of_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number_of_rides" numFmtId="0">
      <sharedItems containsSemiMixedTypes="0" containsString="0" containsNumber="1" containsInteger="1" minValue="238186" maxValue="622935"/>
    </cacheField>
    <cacheField name="average_duration" numFmtId="0">
      <sharedItems containsSemiMixedTypes="0" containsString="0" containsNumber="1" minValue="714.12808891460702" maxValue="1495.1389430704901"/>
    </cacheField>
    <cacheField name="classic_bike" numFmtId="0">
      <sharedItems containsSemiMixedTypes="0" containsString="0" containsNumber="1" containsInteger="1" minValue="61873" maxValue="204182"/>
    </cacheField>
    <cacheField name="electric_bike" numFmtId="0">
      <sharedItems containsSemiMixedTypes="0" containsString="0" containsNumber="1" containsInteger="1" minValue="174071" maxValue="422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Sunday"/>
    <n v="357284"/>
    <n v="1495.1389430704901"/>
    <n v="114296"/>
    <n v="242988"/>
    <n v="534189222.135997"/>
  </r>
  <r>
    <x v="0"/>
    <s v="Monday"/>
    <n v="244329"/>
    <n v="1267.67890131748"/>
    <n v="70258"/>
    <n v="174071"/>
    <n v="309730718.2799986"/>
  </r>
  <r>
    <x v="0"/>
    <s v="Tuesday"/>
    <n v="238186"/>
    <n v="1095.7739041085499"/>
    <n v="61873"/>
    <n v="176313"/>
    <n v="260998003.12399906"/>
  </r>
  <r>
    <x v="0"/>
    <s v="Wednesday"/>
    <n v="246201"/>
    <n v="1060.3376949809301"/>
    <n v="61918"/>
    <n v="184283"/>
    <n v="261056200.84199998"/>
  </r>
  <r>
    <x v="0"/>
    <s v="Thursday"/>
    <n v="267847"/>
    <n v="1121.1401785384901"/>
    <n v="68308"/>
    <n v="199539"/>
    <n v="300294033.40099895"/>
  </r>
  <r>
    <x v="0"/>
    <s v="Friday"/>
    <n v="339790"/>
    <n v="1234.5971660555001"/>
    <n v="92045"/>
    <n v="247745"/>
    <n v="419503771.05399841"/>
  </r>
  <r>
    <x v="0"/>
    <s v="Saturday"/>
    <n v="457395"/>
    <n v="1434.48787301129"/>
    <n v="143601"/>
    <n v="313794"/>
    <n v="656127580.67599905"/>
  </r>
  <r>
    <x v="1"/>
    <s v="Sunday"/>
    <n v="415274"/>
    <n v="813.82362062638094"/>
    <n v="143444"/>
    <n v="271830"/>
    <n v="337959790.2319997"/>
  </r>
  <r>
    <x v="1"/>
    <s v="Monday"/>
    <n v="538719"/>
    <n v="723.94621310738899"/>
    <n v="185836"/>
    <n v="352883"/>
    <n v="390003579.9789995"/>
  </r>
  <r>
    <x v="1"/>
    <s v="Tuesday"/>
    <n v="614331"/>
    <n v="714.12808891460702"/>
    <n v="204182"/>
    <n v="410149"/>
    <n v="438711022.99099946"/>
  </r>
  <r>
    <x v="1"/>
    <s v="Wednesday"/>
    <n v="622935"/>
    <n v="714.49440223939803"/>
    <n v="202823"/>
    <n v="420112"/>
    <n v="445083570.4589994"/>
  </r>
  <r>
    <x v="1"/>
    <s v="Thursday"/>
    <n v="619497"/>
    <n v="717.97893791253205"/>
    <n v="197494"/>
    <n v="422003"/>
    <n v="444785798.09999985"/>
  </r>
  <r>
    <x v="1"/>
    <s v="Friday"/>
    <n v="581546"/>
    <n v="738.45658896114799"/>
    <n v="184230"/>
    <n v="397316"/>
    <n v="429446475.48399979"/>
  </r>
  <r>
    <x v="1"/>
    <s v="Saturday"/>
    <n v="494570"/>
    <n v="817.92215984390396"/>
    <n v="160898"/>
    <n v="333672"/>
    <n v="404519762.593999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357284"/>
    <n v="1495.1389430704901"/>
    <n v="114296"/>
    <n v="242988"/>
  </r>
  <r>
    <x v="0"/>
    <x v="1"/>
    <n v="244329"/>
    <n v="1267.67890131748"/>
    <n v="70258"/>
    <n v="174071"/>
  </r>
  <r>
    <x v="0"/>
    <x v="2"/>
    <n v="238186"/>
    <n v="1095.7739041085499"/>
    <n v="61873"/>
    <n v="176313"/>
  </r>
  <r>
    <x v="0"/>
    <x v="3"/>
    <n v="246201"/>
    <n v="1060.3376949809301"/>
    <n v="61918"/>
    <n v="184283"/>
  </r>
  <r>
    <x v="0"/>
    <x v="4"/>
    <n v="267847"/>
    <n v="1121.1401785384901"/>
    <n v="68308"/>
    <n v="199539"/>
  </r>
  <r>
    <x v="0"/>
    <x v="5"/>
    <n v="339790"/>
    <n v="1234.5971660555001"/>
    <n v="92045"/>
    <n v="247745"/>
  </r>
  <r>
    <x v="0"/>
    <x v="6"/>
    <n v="457395"/>
    <n v="1434.48787301129"/>
    <n v="143601"/>
    <n v="313794"/>
  </r>
  <r>
    <x v="1"/>
    <x v="0"/>
    <n v="415274"/>
    <n v="813.82362062638094"/>
    <n v="143444"/>
    <n v="271830"/>
  </r>
  <r>
    <x v="1"/>
    <x v="1"/>
    <n v="538719"/>
    <n v="723.94621310738899"/>
    <n v="185836"/>
    <n v="352883"/>
  </r>
  <r>
    <x v="1"/>
    <x v="2"/>
    <n v="614331"/>
    <n v="714.12808891460702"/>
    <n v="204182"/>
    <n v="410149"/>
  </r>
  <r>
    <x v="1"/>
    <x v="3"/>
    <n v="622935"/>
    <n v="714.49440223939803"/>
    <n v="202823"/>
    <n v="420112"/>
  </r>
  <r>
    <x v="1"/>
    <x v="4"/>
    <n v="619497"/>
    <n v="717.97893791253205"/>
    <n v="197494"/>
    <n v="422003"/>
  </r>
  <r>
    <x v="1"/>
    <x v="5"/>
    <n v="581546"/>
    <n v="738.45658896114799"/>
    <n v="184230"/>
    <n v="397316"/>
  </r>
  <r>
    <x v="1"/>
    <x v="6"/>
    <n v="494570"/>
    <n v="817.92215984390396"/>
    <n v="160898"/>
    <n v="3336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0DB89-F1C8-44C6-9771-62F197CE2EAE}" name="PivotTable3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G17:J26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average_duration" fld="3" baseField="0" baseItem="0"/>
  </dataFields>
  <chartFormats count="7">
    <chartFormat chart="22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2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4F312-4EA8-4827-83BA-2B162BB5442D}" name="PivotTable3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D17:E20" firstHeaderRow="1" firstDataRow="1" firstDataCol="1"/>
  <pivotFields count="6"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number_of_rides" fld="2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638B0-0B6F-41B0-89B8-77ABC1630F5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0:I14" firstHeaderRow="1" firstDataRow="2" firstDataCol="1"/>
  <pivotFields count="6">
    <pivotField axis="axisRow" subtotalTop="0" showAll="0">
      <items count="3">
        <item x="0"/>
        <item x="1"/>
        <item t="default"/>
      </items>
    </pivotField>
    <pivotField axis="axisCol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/>
    <pivotField subtotalTop="0" showAll="0"/>
    <pivotField subtotalTop="0" showAll="0"/>
    <pivotField subtotalTop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umber_of_rides" fld="2" baseField="0" baseItem="0"/>
  </dataFields>
  <chartFormats count="7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9F2C2-857D-4047-8350-75C526AB6E38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D4:L8" firstHeaderRow="1" firstDataRow="2" firstDataCol="1"/>
  <pivotFields count="6">
    <pivotField axis="axisRow" showAll="0">
      <items count="3">
        <item x="0"/>
        <item x="1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average_duration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E84AB-4493-4BF8-ACA7-8E3AF8B067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">
  <location ref="L20:M23" firstHeaderRow="1" firstDataRow="1" firstDataCol="1"/>
  <pivotFields count="8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verage Duration" fld="7" subtotal="average" baseField="0" baseItem="0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3812-7F82-4D58-8CBB-D33A7A4B2777}">
  <dimension ref="A4:M26"/>
  <sheetViews>
    <sheetView topLeftCell="A5" workbookViewId="0">
      <selection activeCell="K16" sqref="K16"/>
    </sheetView>
  </sheetViews>
  <sheetFormatPr defaultRowHeight="15" x14ac:dyDescent="0.25"/>
  <cols>
    <col min="1" max="1" width="23.28515625" bestFit="1" customWidth="1"/>
    <col min="2" max="2" width="16.28515625" bestFit="1" customWidth="1"/>
    <col min="3" max="4" width="8.28515625" bestFit="1" customWidth="1"/>
    <col min="5" max="5" width="11.5703125" bestFit="1" customWidth="1"/>
    <col min="6" max="6" width="9" bestFit="1" customWidth="1"/>
    <col min="7" max="7" width="7" bestFit="1" customWidth="1"/>
    <col min="8" max="8" width="8.7109375" bestFit="1" customWidth="1"/>
    <col min="9" max="9" width="11.28515625" bestFit="1" customWidth="1"/>
    <col min="10" max="10" width="12" bestFit="1" customWidth="1"/>
    <col min="11" max="11" width="28.5703125" bestFit="1" customWidth="1"/>
    <col min="12" max="12" width="11.28515625" bestFit="1" customWidth="1"/>
    <col min="13" max="13" width="27" bestFit="1" customWidth="1"/>
    <col min="14" max="14" width="23.42578125" bestFit="1" customWidth="1"/>
  </cols>
  <sheetData>
    <row r="4" spans="1:12" x14ac:dyDescent="0.25">
      <c r="D4" s="1" t="s">
        <v>20</v>
      </c>
      <c r="E4" s="1" t="s">
        <v>19</v>
      </c>
    </row>
    <row r="5" spans="1:12" x14ac:dyDescent="0.25">
      <c r="D5" s="1" t="s">
        <v>15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16</v>
      </c>
    </row>
    <row r="6" spans="1:12" x14ac:dyDescent="0.25">
      <c r="D6" s="2" t="s">
        <v>6</v>
      </c>
      <c r="E6">
        <v>1495.1389430704901</v>
      </c>
      <c r="F6">
        <v>1267.67890131748</v>
      </c>
      <c r="G6">
        <v>1095.7739041085499</v>
      </c>
      <c r="H6">
        <v>1060.3376949809301</v>
      </c>
      <c r="I6">
        <v>1121.1401785384901</v>
      </c>
      <c r="J6">
        <v>1234.5971660555001</v>
      </c>
      <c r="K6">
        <v>1434.48787301129</v>
      </c>
      <c r="L6">
        <v>1244.1649515832473</v>
      </c>
    </row>
    <row r="7" spans="1:12" x14ac:dyDescent="0.25">
      <c r="D7" s="2" t="s">
        <v>14</v>
      </c>
      <c r="E7">
        <v>813.82362062638094</v>
      </c>
      <c r="F7">
        <v>723.94621310738899</v>
      </c>
      <c r="G7">
        <v>714.12808891460702</v>
      </c>
      <c r="H7">
        <v>714.49440223939803</v>
      </c>
      <c r="I7">
        <v>717.97893791253205</v>
      </c>
      <c r="J7">
        <v>738.45658896114799</v>
      </c>
      <c r="K7">
        <v>817.92215984390396</v>
      </c>
      <c r="L7">
        <v>748.67857308647967</v>
      </c>
    </row>
    <row r="8" spans="1:12" x14ac:dyDescent="0.25">
      <c r="D8" s="2" t="s">
        <v>16</v>
      </c>
      <c r="E8">
        <v>1154.4812818484356</v>
      </c>
      <c r="F8">
        <v>995.81255721243451</v>
      </c>
      <c r="G8">
        <v>904.95099651157852</v>
      </c>
      <c r="H8">
        <v>887.41604861016413</v>
      </c>
      <c r="I8">
        <v>919.55955822551107</v>
      </c>
      <c r="J8">
        <v>986.52687750832411</v>
      </c>
      <c r="K8">
        <v>1126.205016427597</v>
      </c>
      <c r="L8">
        <v>996.4217623348635</v>
      </c>
    </row>
    <row r="10" spans="1:12" x14ac:dyDescent="0.25">
      <c r="A10" s="1" t="s">
        <v>18</v>
      </c>
      <c r="B10" s="1" t="s">
        <v>19</v>
      </c>
    </row>
    <row r="11" spans="1:12" x14ac:dyDescent="0.25">
      <c r="A11" s="1" t="s">
        <v>15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16</v>
      </c>
    </row>
    <row r="12" spans="1:12" x14ac:dyDescent="0.25">
      <c r="A12" s="2" t="s">
        <v>6</v>
      </c>
      <c r="B12">
        <v>357284</v>
      </c>
      <c r="C12">
        <v>244329</v>
      </c>
      <c r="D12">
        <v>238186</v>
      </c>
      <c r="E12">
        <v>246201</v>
      </c>
      <c r="F12">
        <v>267847</v>
      </c>
      <c r="G12">
        <v>339790</v>
      </c>
      <c r="H12">
        <v>457395</v>
      </c>
      <c r="I12">
        <v>2151032</v>
      </c>
    </row>
    <row r="13" spans="1:12" x14ac:dyDescent="0.25">
      <c r="A13" s="2" t="s">
        <v>14</v>
      </c>
      <c r="B13">
        <v>415274</v>
      </c>
      <c r="C13">
        <v>538719</v>
      </c>
      <c r="D13">
        <v>614331</v>
      </c>
      <c r="E13">
        <v>622935</v>
      </c>
      <c r="F13">
        <v>619497</v>
      </c>
      <c r="G13">
        <v>581546</v>
      </c>
      <c r="H13">
        <v>494570</v>
      </c>
      <c r="I13">
        <v>3886872</v>
      </c>
    </row>
    <row r="14" spans="1:12" x14ac:dyDescent="0.25">
      <c r="A14" s="2" t="s">
        <v>16</v>
      </c>
      <c r="B14">
        <v>772558</v>
      </c>
      <c r="C14">
        <v>783048</v>
      </c>
      <c r="D14">
        <v>852517</v>
      </c>
      <c r="E14">
        <v>869136</v>
      </c>
      <c r="F14">
        <v>887344</v>
      </c>
      <c r="G14">
        <v>921336</v>
      </c>
      <c r="H14">
        <v>951965</v>
      </c>
      <c r="I14">
        <v>6037904</v>
      </c>
    </row>
    <row r="17" spans="4:13" x14ac:dyDescent="0.25">
      <c r="D17" s="1" t="s">
        <v>15</v>
      </c>
      <c r="E17" t="s">
        <v>18</v>
      </c>
      <c r="G17" s="1" t="s">
        <v>17</v>
      </c>
      <c r="H17" s="1" t="s">
        <v>19</v>
      </c>
    </row>
    <row r="18" spans="4:13" x14ac:dyDescent="0.25">
      <c r="D18" s="2" t="s">
        <v>6</v>
      </c>
      <c r="E18">
        <v>2151032</v>
      </c>
      <c r="G18" s="1" t="s">
        <v>15</v>
      </c>
      <c r="H18" t="s">
        <v>6</v>
      </c>
      <c r="I18" t="s">
        <v>14</v>
      </c>
      <c r="J18" t="s">
        <v>16</v>
      </c>
    </row>
    <row r="19" spans="4:13" x14ac:dyDescent="0.25">
      <c r="D19" s="2" t="s">
        <v>14</v>
      </c>
      <c r="E19">
        <v>3886872</v>
      </c>
      <c r="G19" s="2" t="s">
        <v>7</v>
      </c>
      <c r="H19">
        <v>1495.1389430704901</v>
      </c>
      <c r="I19">
        <v>813.82362062638094</v>
      </c>
      <c r="J19">
        <v>2308.9625636968713</v>
      </c>
    </row>
    <row r="20" spans="4:13" x14ac:dyDescent="0.25">
      <c r="D20" s="2" t="s">
        <v>16</v>
      </c>
      <c r="E20">
        <v>6037904</v>
      </c>
      <c r="G20" s="2" t="s">
        <v>8</v>
      </c>
      <c r="H20">
        <v>1267.67890131748</v>
      </c>
      <c r="I20">
        <v>723.94621310738899</v>
      </c>
      <c r="J20">
        <v>1991.625114424869</v>
      </c>
      <c r="L20" s="1" t="s">
        <v>21</v>
      </c>
      <c r="M20" t="s">
        <v>23</v>
      </c>
    </row>
    <row r="21" spans="4:13" x14ac:dyDescent="0.25">
      <c r="G21" s="2" t="s">
        <v>9</v>
      </c>
      <c r="H21">
        <v>1095.7739041085499</v>
      </c>
      <c r="I21">
        <v>714.12808891460702</v>
      </c>
      <c r="J21">
        <v>1809.901993023157</v>
      </c>
      <c r="L21" s="2" t="s">
        <v>6</v>
      </c>
      <c r="M21">
        <v>1274.6902554276232</v>
      </c>
    </row>
    <row r="22" spans="4:13" x14ac:dyDescent="0.25">
      <c r="G22" s="2" t="s">
        <v>10</v>
      </c>
      <c r="H22">
        <v>1060.3376949809301</v>
      </c>
      <c r="I22">
        <v>714.49440223939803</v>
      </c>
      <c r="J22">
        <v>1774.8320972203283</v>
      </c>
      <c r="L22" s="2" t="s">
        <v>14</v>
      </c>
      <c r="M22">
        <v>743.6596831176837</v>
      </c>
    </row>
    <row r="23" spans="4:13" x14ac:dyDescent="0.25">
      <c r="G23" s="2" t="s">
        <v>11</v>
      </c>
      <c r="H23">
        <v>1121.1401785384901</v>
      </c>
      <c r="I23">
        <v>717.97893791253205</v>
      </c>
      <c r="J23">
        <v>1839.1191164510221</v>
      </c>
      <c r="L23" s="2" t="s">
        <v>16</v>
      </c>
      <c r="M23">
        <v>932.84184865343832</v>
      </c>
    </row>
    <row r="24" spans="4:13" x14ac:dyDescent="0.25">
      <c r="G24" s="2" t="s">
        <v>12</v>
      </c>
      <c r="H24">
        <v>1234.5971660555001</v>
      </c>
      <c r="I24">
        <v>738.45658896114799</v>
      </c>
      <c r="J24">
        <v>1973.0537550166482</v>
      </c>
    </row>
    <row r="25" spans="4:13" x14ac:dyDescent="0.25">
      <c r="G25" s="2" t="s">
        <v>13</v>
      </c>
      <c r="H25">
        <v>1434.48787301129</v>
      </c>
      <c r="I25">
        <v>817.92215984390396</v>
      </c>
      <c r="J25">
        <v>2252.410032855194</v>
      </c>
    </row>
    <row r="26" spans="4:13" x14ac:dyDescent="0.25">
      <c r="G26" s="2" t="s">
        <v>16</v>
      </c>
      <c r="H26">
        <v>8709.1546610827318</v>
      </c>
      <c r="I26">
        <v>5240.7500116053579</v>
      </c>
      <c r="J26">
        <v>13949.90467268809</v>
      </c>
    </row>
  </sheetData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F002-299C-45D7-958F-6E73C7F5570D}">
  <dimension ref="A1:G15"/>
  <sheetViews>
    <sheetView tabSelected="1" topLeftCell="A6" workbookViewId="0">
      <selection activeCell="D15" sqref="A1:G15"/>
    </sheetView>
  </sheetViews>
  <sheetFormatPr defaultRowHeight="15" x14ac:dyDescent="0.25"/>
  <cols>
    <col min="2" max="2" width="12.85546875" bestFit="1" customWidth="1"/>
    <col min="3" max="3" width="16.42578125" bestFit="1" customWidth="1"/>
    <col min="4" max="4" width="16.7109375" bestFit="1" customWidth="1"/>
    <col min="5" max="5" width="11.42578125" bestFit="1" customWidth="1"/>
    <col min="6" max="6" width="12.425781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25">
      <c r="A2" t="s">
        <v>6</v>
      </c>
      <c r="B2" t="s">
        <v>7</v>
      </c>
      <c r="C2">
        <v>357284</v>
      </c>
      <c r="D2">
        <v>1495.1389430704901</v>
      </c>
      <c r="E2">
        <v>114296</v>
      </c>
      <c r="F2">
        <v>242988</v>
      </c>
      <c r="G2" cm="1">
        <f t="array" ref="G2:G15">C2:C15*D2:D15</f>
        <v>534189222.135997</v>
      </c>
    </row>
    <row r="3" spans="1:7" x14ac:dyDescent="0.25">
      <c r="A3" t="s">
        <v>6</v>
      </c>
      <c r="B3" t="s">
        <v>8</v>
      </c>
      <c r="C3">
        <v>244329</v>
      </c>
      <c r="D3">
        <v>1267.67890131748</v>
      </c>
      <c r="E3">
        <v>70258</v>
      </c>
      <c r="F3">
        <v>174071</v>
      </c>
      <c r="G3">
        <v>309730718.2799986</v>
      </c>
    </row>
    <row r="4" spans="1:7" x14ac:dyDescent="0.25">
      <c r="A4" t="s">
        <v>6</v>
      </c>
      <c r="B4" t="s">
        <v>9</v>
      </c>
      <c r="C4">
        <v>238186</v>
      </c>
      <c r="D4">
        <v>1095.7739041085499</v>
      </c>
      <c r="E4">
        <v>61873</v>
      </c>
      <c r="F4">
        <v>176313</v>
      </c>
      <c r="G4">
        <v>260998003.12399906</v>
      </c>
    </row>
    <row r="5" spans="1:7" x14ac:dyDescent="0.25">
      <c r="A5" t="s">
        <v>6</v>
      </c>
      <c r="B5" t="s">
        <v>10</v>
      </c>
      <c r="C5">
        <v>246201</v>
      </c>
      <c r="D5">
        <v>1060.3376949809301</v>
      </c>
      <c r="E5">
        <v>61918</v>
      </c>
      <c r="F5">
        <v>184283</v>
      </c>
      <c r="G5">
        <v>261056200.84199998</v>
      </c>
    </row>
    <row r="6" spans="1:7" x14ac:dyDescent="0.25">
      <c r="A6" t="s">
        <v>6</v>
      </c>
      <c r="B6" t="s">
        <v>11</v>
      </c>
      <c r="C6">
        <v>267847</v>
      </c>
      <c r="D6">
        <v>1121.1401785384901</v>
      </c>
      <c r="E6">
        <v>68308</v>
      </c>
      <c r="F6">
        <v>199539</v>
      </c>
      <c r="G6">
        <v>300294033.40099895</v>
      </c>
    </row>
    <row r="7" spans="1:7" x14ac:dyDescent="0.25">
      <c r="A7" t="s">
        <v>6</v>
      </c>
      <c r="B7" t="s">
        <v>12</v>
      </c>
      <c r="C7">
        <v>339790</v>
      </c>
      <c r="D7">
        <v>1234.5971660555001</v>
      </c>
      <c r="E7">
        <v>92045</v>
      </c>
      <c r="F7">
        <v>247745</v>
      </c>
      <c r="G7">
        <v>419503771.05399841</v>
      </c>
    </row>
    <row r="8" spans="1:7" x14ac:dyDescent="0.25">
      <c r="A8" t="s">
        <v>6</v>
      </c>
      <c r="B8" t="s">
        <v>13</v>
      </c>
      <c r="C8">
        <v>457395</v>
      </c>
      <c r="D8">
        <v>1434.48787301129</v>
      </c>
      <c r="E8">
        <v>143601</v>
      </c>
      <c r="F8">
        <v>313794</v>
      </c>
      <c r="G8">
        <v>656127580.67599905</v>
      </c>
    </row>
    <row r="9" spans="1:7" x14ac:dyDescent="0.25">
      <c r="A9" t="s">
        <v>14</v>
      </c>
      <c r="B9" t="s">
        <v>7</v>
      </c>
      <c r="C9">
        <v>415274</v>
      </c>
      <c r="D9">
        <v>813.82362062638094</v>
      </c>
      <c r="E9">
        <v>143444</v>
      </c>
      <c r="F9">
        <v>271830</v>
      </c>
      <c r="G9">
        <v>337959790.2319997</v>
      </c>
    </row>
    <row r="10" spans="1:7" x14ac:dyDescent="0.25">
      <c r="A10" t="s">
        <v>14</v>
      </c>
      <c r="B10" t="s">
        <v>8</v>
      </c>
      <c r="C10">
        <v>538719</v>
      </c>
      <c r="D10">
        <v>723.94621310738899</v>
      </c>
      <c r="E10">
        <v>185836</v>
      </c>
      <c r="F10">
        <v>352883</v>
      </c>
      <c r="G10">
        <v>390003579.9789995</v>
      </c>
    </row>
    <row r="11" spans="1:7" x14ac:dyDescent="0.25">
      <c r="A11" t="s">
        <v>14</v>
      </c>
      <c r="B11" t="s">
        <v>9</v>
      </c>
      <c r="C11">
        <v>614331</v>
      </c>
      <c r="D11">
        <v>714.12808891460702</v>
      </c>
      <c r="E11">
        <v>204182</v>
      </c>
      <c r="F11">
        <v>410149</v>
      </c>
      <c r="G11">
        <v>438711022.99099946</v>
      </c>
    </row>
    <row r="12" spans="1:7" x14ac:dyDescent="0.25">
      <c r="A12" t="s">
        <v>14</v>
      </c>
      <c r="B12" t="s">
        <v>10</v>
      </c>
      <c r="C12">
        <v>622935</v>
      </c>
      <c r="D12">
        <v>714.49440223939803</v>
      </c>
      <c r="E12">
        <v>202823</v>
      </c>
      <c r="F12">
        <v>420112</v>
      </c>
      <c r="G12">
        <v>445083570.4589994</v>
      </c>
    </row>
    <row r="13" spans="1:7" x14ac:dyDescent="0.25">
      <c r="A13" t="s">
        <v>14</v>
      </c>
      <c r="B13" t="s">
        <v>11</v>
      </c>
      <c r="C13">
        <v>619497</v>
      </c>
      <c r="D13">
        <v>717.97893791253205</v>
      </c>
      <c r="E13">
        <v>197494</v>
      </c>
      <c r="F13">
        <v>422003</v>
      </c>
      <c r="G13">
        <v>444785798.09999985</v>
      </c>
    </row>
    <row r="14" spans="1:7" x14ac:dyDescent="0.25">
      <c r="A14" t="s">
        <v>14</v>
      </c>
      <c r="B14" t="s">
        <v>12</v>
      </c>
      <c r="C14">
        <v>581546</v>
      </c>
      <c r="D14">
        <v>738.45658896114799</v>
      </c>
      <c r="E14">
        <v>184230</v>
      </c>
      <c r="F14">
        <v>397316</v>
      </c>
      <c r="G14">
        <v>429446475.48399979</v>
      </c>
    </row>
    <row r="15" spans="1:7" x14ac:dyDescent="0.25">
      <c r="A15" t="s">
        <v>14</v>
      </c>
      <c r="B15" t="s">
        <v>13</v>
      </c>
      <c r="C15">
        <v>494570</v>
      </c>
      <c r="D15">
        <v>817.92215984390396</v>
      </c>
      <c r="E15">
        <v>160898</v>
      </c>
      <c r="F15">
        <v>333672</v>
      </c>
      <c r="G15">
        <v>404519762.59399956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cyclistic analysis</vt:lpstr>
      <vt:lpstr>avg_ride_length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hashir</dc:creator>
  <cp:lastModifiedBy>muhammad hashir</cp:lastModifiedBy>
  <dcterms:created xsi:type="dcterms:W3CDTF">2026-08-19T23:04:40Z</dcterms:created>
  <dcterms:modified xsi:type="dcterms:W3CDTF">2026-08-20T01:27:30Z</dcterms:modified>
</cp:coreProperties>
</file>